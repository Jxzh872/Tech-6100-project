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Project\PCB\"/>
    </mc:Choice>
  </mc:AlternateContent>
  <xr:revisionPtr revIDLastSave="0" documentId="13_ncr:1_{8A196024-BE67-48F9-A610-72670E02EAE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I7" i="1"/>
  <c r="K2" i="1"/>
</calcChain>
</file>

<file path=xl/sharedStrings.xml><?xml version="1.0" encoding="utf-8"?>
<sst xmlns="http://schemas.openxmlformats.org/spreadsheetml/2006/main" count="40" uniqueCount="40">
  <si>
    <t>Index</t>
  </si>
  <si>
    <t>Quantity</t>
  </si>
  <si>
    <t>Part Number</t>
  </si>
  <si>
    <t>Manufacturer Part Number</t>
  </si>
  <si>
    <t>Description</t>
  </si>
  <si>
    <t>Customer Reference</t>
  </si>
  <si>
    <t>Available</t>
  </si>
  <si>
    <t>Backorder</t>
  </si>
  <si>
    <t>Unit Price</t>
  </si>
  <si>
    <t>Extended Price CAD</t>
  </si>
  <si>
    <t>541-2268-1-ND</t>
  </si>
  <si>
    <t>IHLP4040DZER3R3M8A</t>
  </si>
  <si>
    <t>FIXED IND 3.3UH 11A 11.81MOHM SM</t>
  </si>
  <si>
    <t>445-6001-1-ND</t>
  </si>
  <si>
    <t>C3216X5R1C226M160AB</t>
  </si>
  <si>
    <t>CAP CER 22UF 16V X5R 1206</t>
  </si>
  <si>
    <t>1276-3431-1-ND</t>
  </si>
  <si>
    <t>RC1005F103CS</t>
  </si>
  <si>
    <t>RES SMD 10K OHM 1% 1/16W 0402</t>
  </si>
  <si>
    <t>RMCF0603FT124KCT-ND</t>
  </si>
  <si>
    <t>RMCF0603FT124K</t>
  </si>
  <si>
    <t>RES 124K OHM 1% 1/10W 0603</t>
  </si>
  <si>
    <t>RR08P22.1KDCT-ND</t>
  </si>
  <si>
    <t>RR0816P-2212-D-34C</t>
  </si>
  <si>
    <t>RES SMD 22.1KOHM 0.5% 1/16W 0603</t>
  </si>
  <si>
    <t>296-40808-1-ND</t>
  </si>
  <si>
    <t>TPS54627DDAR</t>
  </si>
  <si>
    <t>IC REG BUCK ADJ 6A 8SOPWR</t>
  </si>
  <si>
    <t>1276-6720-1-ND</t>
  </si>
  <si>
    <t>CL05B104KA5NNNC</t>
  </si>
  <si>
    <t>CAP CER 0.1UF 25V X7R 0402</t>
  </si>
  <si>
    <t>490-10018-1-ND</t>
  </si>
  <si>
    <t>GRM155R61E105MA12D</t>
  </si>
  <si>
    <t>CAP CER 1UF 25V X5R 0402</t>
  </si>
  <si>
    <t>490-1311-1-ND</t>
  </si>
  <si>
    <t>GRM155R71E822KA01D</t>
  </si>
  <si>
    <t>CAP CER 8200PF 25V X7R 0402</t>
  </si>
  <si>
    <t>1292-0805X106K250CT-ND</t>
  </si>
  <si>
    <t>0805X106K250CT</t>
  </si>
  <si>
    <t>CAP CER 10UF 25V X5R 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</si>
</sst>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K18" sqref="K18"/>
    </sheetView>
  </sheetViews>
  <sheetFormatPr defaultRowHeight="15"/>
  <cols>
    <col min="1" max="1" width="6.42578125" customWidth="1"/>
    <col min="2" max="2" width="10.42578125" customWidth="1"/>
    <col min="3" max="3" width="28.5703125" customWidth="1"/>
    <col min="4" max="4" width="31.140625" customWidth="1"/>
    <col min="5" max="5" width="41.5703125" customWidth="1"/>
    <col min="6" max="6" width="23.42578125" customWidth="1"/>
    <col min="7" max="8" width="11.7109375" customWidth="1"/>
    <col min="9" max="9" width="13" customWidth="1"/>
    <col min="10" max="10" width="23.42578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>
      <c r="A2" s="2">
        <v>1</v>
      </c>
      <c r="B2" s="2">
        <v>2</v>
      </c>
      <c r="C2" t="s">
        <v>10</v>
      </c>
      <c r="D2" t="s">
        <v>11</v>
      </c>
      <c r="E2" t="s">
        <v>12</v>
      </c>
      <c r="G2" s="2">
        <v>2</v>
      </c>
      <c r="H2" s="2">
        <v>0</v>
      </c>
      <c r="I2">
        <v>2.35</v>
      </c>
      <c r="J2" s="3">
        <v>4.7</v>
      </c>
      <c r="K2" s="3">
        <f>SUM(J2:J11)</f>
        <v>24.25</v>
      </c>
    </row>
    <row r="3" spans="1:11">
      <c r="A3" s="2">
        <v>2</v>
      </c>
      <c r="B3" s="2">
        <v>4</v>
      </c>
      <c r="C3" t="s">
        <v>13</v>
      </c>
      <c r="D3" t="s">
        <v>14</v>
      </c>
      <c r="E3" t="s">
        <v>15</v>
      </c>
      <c r="G3" s="2">
        <v>4</v>
      </c>
      <c r="H3" s="2">
        <v>0</v>
      </c>
      <c r="I3">
        <v>0.97</v>
      </c>
      <c r="J3" s="3">
        <v>3.88</v>
      </c>
    </row>
    <row r="4" spans="1:11">
      <c r="A4" s="2">
        <v>3</v>
      </c>
      <c r="B4" s="2">
        <v>2</v>
      </c>
      <c r="C4" t="s">
        <v>16</v>
      </c>
      <c r="D4" t="s">
        <v>17</v>
      </c>
      <c r="E4" t="s">
        <v>18</v>
      </c>
      <c r="G4" s="2">
        <v>2</v>
      </c>
      <c r="H4" s="2">
        <v>0</v>
      </c>
      <c r="I4">
        <v>0.16</v>
      </c>
      <c r="J4" s="3">
        <v>0.32</v>
      </c>
    </row>
    <row r="5" spans="1:11">
      <c r="A5" s="2">
        <v>4</v>
      </c>
      <c r="B5" s="2">
        <v>10</v>
      </c>
      <c r="C5" t="s">
        <v>19</v>
      </c>
      <c r="D5" t="s">
        <v>20</v>
      </c>
      <c r="E5" t="s">
        <v>21</v>
      </c>
      <c r="G5" s="2">
        <v>10</v>
      </c>
      <c r="H5" s="2">
        <v>0</v>
      </c>
      <c r="I5">
        <v>1.7999999999999999E-2</v>
      </c>
      <c r="J5" s="3">
        <v>0.18</v>
      </c>
    </row>
    <row r="6" spans="1:11">
      <c r="A6" s="2">
        <v>5</v>
      </c>
      <c r="B6" s="2">
        <v>2</v>
      </c>
      <c r="C6" t="s">
        <v>22</v>
      </c>
      <c r="D6" t="s">
        <v>23</v>
      </c>
      <c r="E6" t="s">
        <v>24</v>
      </c>
      <c r="G6" s="2">
        <v>2</v>
      </c>
      <c r="H6" s="2">
        <v>0</v>
      </c>
      <c r="I6">
        <v>0.16</v>
      </c>
      <c r="J6" s="3">
        <v>0.32</v>
      </c>
    </row>
    <row r="7" spans="1:11">
      <c r="A7" s="2">
        <v>6</v>
      </c>
      <c r="B7" s="2">
        <v>2</v>
      </c>
      <c r="C7" t="s">
        <v>25</v>
      </c>
      <c r="D7" t="s">
        <v>26</v>
      </c>
      <c r="E7" t="s">
        <v>27</v>
      </c>
      <c r="G7" s="2">
        <v>2</v>
      </c>
      <c r="H7" s="2">
        <v>0</v>
      </c>
      <c r="I7">
        <f>6.64*2</f>
        <v>13.28</v>
      </c>
      <c r="J7">
        <f>6.64*2</f>
        <v>13.28</v>
      </c>
    </row>
    <row r="8" spans="1:11">
      <c r="A8" s="2">
        <v>7</v>
      </c>
      <c r="B8" s="2">
        <v>10</v>
      </c>
      <c r="C8" t="s">
        <v>28</v>
      </c>
      <c r="D8" t="s">
        <v>29</v>
      </c>
      <c r="E8" t="s">
        <v>30</v>
      </c>
      <c r="G8" s="2">
        <v>10</v>
      </c>
      <c r="H8" s="2">
        <v>0</v>
      </c>
      <c r="I8">
        <v>2.3E-2</v>
      </c>
      <c r="J8" s="3">
        <v>0.23</v>
      </c>
    </row>
    <row r="9" spans="1:11">
      <c r="A9" s="2">
        <v>8</v>
      </c>
      <c r="B9" s="2">
        <v>2</v>
      </c>
      <c r="C9" t="s">
        <v>31</v>
      </c>
      <c r="D9" t="s">
        <v>32</v>
      </c>
      <c r="E9" t="s">
        <v>33</v>
      </c>
      <c r="G9" s="2">
        <v>2</v>
      </c>
      <c r="H9" s="2">
        <v>0</v>
      </c>
      <c r="I9">
        <v>0.15</v>
      </c>
      <c r="J9" s="3">
        <v>0.3</v>
      </c>
    </row>
    <row r="10" spans="1:11">
      <c r="A10" s="2">
        <v>9</v>
      </c>
      <c r="B10" s="2">
        <v>2</v>
      </c>
      <c r="C10" t="s">
        <v>34</v>
      </c>
      <c r="D10" t="s">
        <v>35</v>
      </c>
      <c r="E10" t="s">
        <v>36</v>
      </c>
      <c r="G10" s="2">
        <v>2</v>
      </c>
      <c r="H10" s="2">
        <v>0</v>
      </c>
      <c r="I10">
        <v>0.15</v>
      </c>
      <c r="J10" s="3">
        <v>0.3</v>
      </c>
    </row>
    <row r="11" spans="1:11">
      <c r="A11" s="2">
        <v>10</v>
      </c>
      <c r="B11" s="2">
        <v>10</v>
      </c>
      <c r="C11" t="s">
        <v>37</v>
      </c>
      <c r="D11" t="s">
        <v>38</v>
      </c>
      <c r="E11" t="s">
        <v>39</v>
      </c>
      <c r="G11" s="2">
        <v>10</v>
      </c>
      <c r="H11" s="2">
        <v>0</v>
      </c>
      <c r="I11">
        <v>7.3999999999999996E-2</v>
      </c>
      <c r="J11" s="3"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Zonghuo Xie</cp:lastModifiedBy>
  <dcterms:modified xsi:type="dcterms:W3CDTF">2025-01-20T15:48:10Z</dcterms:modified>
</cp:coreProperties>
</file>